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ranc\Downloads\Tudo sobre Analise de Dados\Materias para estudar SQL-POWER BI E EXCEL\4 Para analista Financeiro e tesouraria\Finanças para praticar( exercitar )\5- MODELAGEM FINANCEIRA\"/>
    </mc:Choice>
  </mc:AlternateContent>
  <xr:revisionPtr revIDLastSave="0" documentId="13_ncr:1_{232699B4-01DD-4DC4-A1D8-F6FFB9F2BA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 MODELAGEM FINANCEIRA 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9" i="3" l="1"/>
  <c r="E32" i="3" s="1"/>
  <c r="F15" i="3"/>
  <c r="K27" i="3" l="1"/>
  <c r="B16" i="3"/>
  <c r="B23" i="3"/>
  <c r="B17" i="3"/>
  <c r="B12" i="3"/>
  <c r="F28" i="3"/>
  <c r="K12" i="3"/>
  <c r="K11" i="3" l="1"/>
  <c r="K7" i="3"/>
  <c r="K6" i="3"/>
  <c r="G26" i="3"/>
  <c r="K26" i="3" s="1"/>
  <c r="G23" i="3"/>
  <c r="K25" i="3" s="1"/>
  <c r="G20" i="3"/>
  <c r="K18" i="3" s="1"/>
  <c r="G19" i="3"/>
  <c r="K17" i="3" s="1"/>
  <c r="G18" i="3"/>
  <c r="K16" i="3" s="1"/>
  <c r="G13" i="3"/>
  <c r="K22" i="3" s="1"/>
  <c r="G12" i="3"/>
  <c r="K21" i="3" s="1"/>
  <c r="G9" i="3"/>
  <c r="K15" i="3" s="1"/>
  <c r="G8" i="3"/>
  <c r="K14" i="3" s="1"/>
  <c r="G7" i="3"/>
  <c r="K13" i="3" s="1"/>
  <c r="E28" i="3"/>
  <c r="F24" i="3"/>
  <c r="E24" i="3"/>
  <c r="F21" i="3"/>
  <c r="E21" i="3"/>
  <c r="F14" i="3"/>
  <c r="E14" i="3"/>
  <c r="F10" i="3"/>
  <c r="E10" i="3"/>
  <c r="B9" i="3"/>
  <c r="B13" i="3"/>
  <c r="F91" i="3"/>
  <c r="E91" i="3"/>
  <c r="D91" i="3"/>
  <c r="C92" i="3"/>
  <c r="B93" i="3"/>
  <c r="F86" i="3"/>
  <c r="E86" i="3"/>
  <c r="D86" i="3"/>
  <c r="C87" i="3"/>
  <c r="B88" i="3"/>
  <c r="F76" i="3"/>
  <c r="E76" i="3"/>
  <c r="D76" i="3"/>
  <c r="C77" i="3"/>
  <c r="B78" i="3"/>
  <c r="F69" i="3"/>
  <c r="E69" i="3"/>
  <c r="B71" i="3"/>
  <c r="H62" i="3"/>
  <c r="C70" i="3"/>
  <c r="B18" i="3"/>
  <c r="B8" i="3"/>
  <c r="K28" i="3" l="1"/>
  <c r="K23" i="3"/>
  <c r="K8" i="3"/>
  <c r="F29" i="3"/>
  <c r="E15" i="3"/>
  <c r="B22" i="3"/>
  <c r="D96" i="3"/>
  <c r="C97" i="3"/>
  <c r="F96" i="3"/>
  <c r="E96" i="3"/>
  <c r="F32" i="3" l="1"/>
  <c r="D69" i="3"/>
  <c r="B25" i="3" l="1"/>
  <c r="B29" i="3" s="1"/>
  <c r="B26" i="3" l="1"/>
  <c r="B32" i="3"/>
  <c r="B30" i="3"/>
  <c r="K10" i="3" l="1"/>
  <c r="K19" i="3" s="1"/>
  <c r="K29" i="3" s="1"/>
  <c r="K31" i="3" s="1"/>
  <c r="B73" i="3"/>
  <c r="B33" i="3"/>
  <c r="B98" i="3" l="1"/>
  <c r="B99" i="3" s="1"/>
  <c r="B101" i="3" s="1"/>
  <c r="C98" i="3" l="1"/>
  <c r="D97" i="3" s="1"/>
  <c r="C100" i="3" l="1"/>
  <c r="E97" i="3"/>
  <c r="D99" i="3"/>
  <c r="F97" i="3" l="1"/>
  <c r="F99" i="3" s="1"/>
  <c r="E99" i="3"/>
</calcChain>
</file>

<file path=xl/sharedStrings.xml><?xml version="1.0" encoding="utf-8"?>
<sst xmlns="http://schemas.openxmlformats.org/spreadsheetml/2006/main" count="125" uniqueCount="110">
  <si>
    <t xml:space="preserve">(=) Receita Bruta </t>
  </si>
  <si>
    <t xml:space="preserve">(-) Deduções de Receita </t>
  </si>
  <si>
    <t>(-) Imposto S/ Venda</t>
  </si>
  <si>
    <t>(=) Receita Liquida</t>
  </si>
  <si>
    <t xml:space="preserve">(-) Custo Variável </t>
  </si>
  <si>
    <t>CMV/CPV/CSP</t>
  </si>
  <si>
    <t>(-) Custo Fixos</t>
  </si>
  <si>
    <t xml:space="preserve">%Custo da Operação </t>
  </si>
  <si>
    <t xml:space="preserve">(-) Despesas Variaves </t>
  </si>
  <si>
    <t>Despesas com Vendas</t>
  </si>
  <si>
    <t>Despesas com Markting</t>
  </si>
  <si>
    <t>(=) Resultado Op.Bruto</t>
  </si>
  <si>
    <t xml:space="preserve">% Mg de Contribuição </t>
  </si>
  <si>
    <t xml:space="preserve">(-) Despesas Fixas </t>
  </si>
  <si>
    <t xml:space="preserve">(-)Despesas com Pessoal </t>
  </si>
  <si>
    <t xml:space="preserve">(-) Despesas com Ocupação </t>
  </si>
  <si>
    <t>(-) D&amp;A</t>
  </si>
  <si>
    <t>(=)Ebit</t>
  </si>
  <si>
    <t xml:space="preserve">%Ebit </t>
  </si>
  <si>
    <t xml:space="preserve">(+/-) Resultado Financeiro </t>
  </si>
  <si>
    <t xml:space="preserve">(+/-) Resultado Não Operacional </t>
  </si>
  <si>
    <t>(=)LAIR</t>
  </si>
  <si>
    <t>%Lair</t>
  </si>
  <si>
    <t xml:space="preserve">(-) Imposto Sobre Lucro </t>
  </si>
  <si>
    <t xml:space="preserve">%Margem Liquida </t>
  </si>
  <si>
    <t xml:space="preserve">(=) Lucro Liquido </t>
  </si>
  <si>
    <t xml:space="preserve">(-)Despesas Administrativa  </t>
  </si>
  <si>
    <t>(=) Ebitda</t>
  </si>
  <si>
    <t>%Ebitda</t>
  </si>
  <si>
    <t xml:space="preserve">Ativo circulante </t>
  </si>
  <si>
    <t>Caixa</t>
  </si>
  <si>
    <t>Conta a Receber</t>
  </si>
  <si>
    <t>Outros Créditos</t>
  </si>
  <si>
    <t>Estoque</t>
  </si>
  <si>
    <t xml:space="preserve">Ativo Não Circulante </t>
  </si>
  <si>
    <t xml:space="preserve">Imobilizados  </t>
  </si>
  <si>
    <t xml:space="preserve">Intangível  </t>
  </si>
  <si>
    <t>Imposto Sobre Lucro</t>
  </si>
  <si>
    <t xml:space="preserve">Passivo Não Circulante </t>
  </si>
  <si>
    <t xml:space="preserve">Emprestimo e Financiamento </t>
  </si>
  <si>
    <t>Patrimonio Liquido</t>
  </si>
  <si>
    <t>Capital Social</t>
  </si>
  <si>
    <t>Obrigações  Trabalhista</t>
  </si>
  <si>
    <t>Check</t>
  </si>
  <si>
    <t>Saldo</t>
  </si>
  <si>
    <t>Projectado</t>
  </si>
  <si>
    <t xml:space="preserve">(+) Lucro Liquido </t>
  </si>
  <si>
    <t>(+) D&amp;A</t>
  </si>
  <si>
    <t xml:space="preserve">Fluxo de Caixa Operacional </t>
  </si>
  <si>
    <t>(-)Variação no CGL -  Ativo e Passivo Circulante</t>
  </si>
  <si>
    <t xml:space="preserve">Variações contas a receber </t>
  </si>
  <si>
    <t>Variaçao do Estoque</t>
  </si>
  <si>
    <t>Variação Outros creditos</t>
  </si>
  <si>
    <t>Variação Fornecedores  a pagar</t>
  </si>
  <si>
    <t>Variação Imposto sobre o Lucro</t>
  </si>
  <si>
    <t xml:space="preserve">Variação Obrigações trabalhista </t>
  </si>
  <si>
    <t xml:space="preserve">Variação Eencarhos a apropriar </t>
  </si>
  <si>
    <t xml:space="preserve">variação Receita financeira apropriar </t>
  </si>
  <si>
    <t xml:space="preserve">Fluxo de Caixa de Investimento </t>
  </si>
  <si>
    <t xml:space="preserve">Variação Intangivel </t>
  </si>
  <si>
    <t>Variação Imobilizado</t>
  </si>
  <si>
    <t xml:space="preserve">Variação Aplicação Finaceira </t>
  </si>
  <si>
    <t>Fluxo de Caixa de Financiamento</t>
  </si>
  <si>
    <t>Variação Capex -Emprestimo e Financiamento</t>
  </si>
  <si>
    <t>Variação Emprestimo Concedidos</t>
  </si>
  <si>
    <t xml:space="preserve">Variação </t>
  </si>
  <si>
    <t xml:space="preserve">Variação  Capital Social </t>
  </si>
  <si>
    <t>(=) Geração de Caixa</t>
  </si>
  <si>
    <t>Geração de Caixa Acomulada</t>
  </si>
  <si>
    <t xml:space="preserve">Fornecedor </t>
  </si>
  <si>
    <t xml:space="preserve">Lucro  Acumulado </t>
  </si>
  <si>
    <t>Ativo</t>
  </si>
  <si>
    <t xml:space="preserve">Total ativo Circulante </t>
  </si>
  <si>
    <t xml:space="preserve">Total ativo não Circulante </t>
  </si>
  <si>
    <t>Total AC+ANC</t>
  </si>
  <si>
    <t>PASSIVO + PATRIMÔNIO LÍQUIDO</t>
  </si>
  <si>
    <t>Passivo Circulante</t>
  </si>
  <si>
    <t xml:space="preserve">Total Passsivo  Circulante </t>
  </si>
  <si>
    <t xml:space="preserve">Total Passsivo  Não Circulante </t>
  </si>
  <si>
    <t>Total PL</t>
  </si>
  <si>
    <t>Caixa Final 2026</t>
  </si>
  <si>
    <t>Fluxo de Caixa Operacional (Fco)</t>
  </si>
  <si>
    <t>(+) Depreciação</t>
  </si>
  <si>
    <t xml:space="preserve">Aumento de  contas a receber </t>
  </si>
  <si>
    <t>aumento  do Estoque</t>
  </si>
  <si>
    <t>aumento  Outros creditos</t>
  </si>
  <si>
    <t xml:space="preserve">aumento dos  Fornecedores  </t>
  </si>
  <si>
    <t>aumento do Imposto sobre o Lucro</t>
  </si>
  <si>
    <t xml:space="preserve">aumento das Obrigações trabalhista </t>
  </si>
  <si>
    <t>Caixa Gerado pelas Operações (FCO)</t>
  </si>
  <si>
    <t>FLUXO DE CAIXA DE FINANCIAMENTO (FCF)</t>
  </si>
  <si>
    <t>Empréstimos</t>
  </si>
  <si>
    <t>Aumento de Capital</t>
  </si>
  <si>
    <t>Caixa Líquido de Investimentos (FCI)</t>
  </si>
  <si>
    <t>Caixa Líquido de Financiamento (FCF)</t>
  </si>
  <si>
    <t>FLUXO DE CAIXA DE INVESTIMENTOS (FCI)</t>
  </si>
  <si>
    <t>Dividendos pagos</t>
  </si>
  <si>
    <t>(=) Conciliação  de Caixa</t>
  </si>
  <si>
    <t>DRE – DEMONSTRAÇÃO DO RESULTADO</t>
  </si>
  <si>
    <t>Descrição</t>
  </si>
  <si>
    <t>BALANÇO PATRIMONIAL (NOVO – FECHADO)</t>
  </si>
  <si>
    <t>DEMONSTRAÇÃO DO FLUXO DE CAIXA INDIRETO</t>
  </si>
  <si>
    <t>(+/-)</t>
  </si>
  <si>
    <t>Variação do CG ( Ativo e Passivo Circulante)</t>
  </si>
  <si>
    <t>Saldo de Caixa</t>
  </si>
  <si>
    <t>Caixa Inicial 2025</t>
  </si>
  <si>
    <t>MODELAGEM FINANCEIRA  INTEGRANDO OS 3 DEMONSTRATIVOS -DRE BP E DFC</t>
  </si>
  <si>
    <t>Total  Passivo +PL</t>
  </si>
  <si>
    <t>(+) Lucro Líquido</t>
  </si>
  <si>
    <t xml:space="preserve">(+)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</si>
</sst>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 Black"/>
      <family val="2"/>
    </font>
    <font>
      <b/>
      <sz val="18"/>
      <color theme="1"/>
      <name val="Arial Black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sz val="14"/>
      <color theme="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43" fontId="0" fillId="0" borderId="0" xfId="1" applyFont="1"/>
    <xf numFmtId="43" fontId="0" fillId="0" borderId="0" xfId="0" applyNumberFormat="1"/>
    <xf numFmtId="0" fontId="2" fillId="5" borderId="0" xfId="0" applyFont="1" applyFill="1"/>
    <xf numFmtId="0" fontId="2" fillId="5" borderId="2" xfId="0" applyFont="1" applyFill="1" applyBorder="1"/>
    <xf numFmtId="0" fontId="2" fillId="5" borderId="3" xfId="0" applyFont="1" applyFill="1" applyBorder="1"/>
    <xf numFmtId="0" fontId="2" fillId="5" borderId="1" xfId="0" applyFont="1" applyFill="1" applyBorder="1"/>
    <xf numFmtId="43" fontId="2" fillId="5" borderId="2" xfId="0" applyNumberFormat="1" applyFont="1" applyFill="1" applyBorder="1"/>
    <xf numFmtId="43" fontId="2" fillId="5" borderId="4" xfId="0" applyNumberFormat="1" applyFont="1" applyFill="1" applyBorder="1"/>
    <xf numFmtId="43" fontId="2" fillId="5" borderId="0" xfId="0" applyNumberFormat="1" applyFont="1" applyFill="1"/>
    <xf numFmtId="9" fontId="0" fillId="0" borderId="0" xfId="0" applyNumberFormat="1"/>
    <xf numFmtId="4" fontId="0" fillId="0" borderId="0" xfId="0" applyNumberFormat="1"/>
    <xf numFmtId="0" fontId="2" fillId="5" borderId="0" xfId="0" applyFont="1" applyFill="1" applyBorder="1"/>
    <xf numFmtId="43" fontId="2" fillId="5" borderId="0" xfId="0" applyNumberFormat="1" applyFont="1" applyFill="1" applyBorder="1"/>
    <xf numFmtId="0" fontId="0" fillId="0" borderId="0" xfId="0" applyBorder="1"/>
    <xf numFmtId="4" fontId="0" fillId="0" borderId="0" xfId="0" applyNumberFormat="1" applyBorder="1"/>
    <xf numFmtId="0" fontId="3" fillId="0" borderId="0" xfId="0" applyFont="1"/>
    <xf numFmtId="0" fontId="7" fillId="2" borderId="0" xfId="0" applyFont="1" applyFill="1" applyBorder="1" applyAlignment="1">
      <alignment horizontal="left"/>
    </xf>
    <xf numFmtId="0" fontId="0" fillId="0" borderId="14" xfId="0" applyBorder="1"/>
    <xf numFmtId="0" fontId="7" fillId="2" borderId="1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7" fillId="2" borderId="5" xfId="0" applyFont="1" applyFill="1" applyBorder="1" applyAlignment="1">
      <alignment horizontal="left"/>
    </xf>
    <xf numFmtId="0" fontId="9" fillId="5" borderId="7" xfId="0" applyFont="1" applyFill="1" applyBorder="1" applyAlignment="1">
      <alignment horizontal="left"/>
    </xf>
    <xf numFmtId="43" fontId="5" fillId="5" borderId="13" xfId="0" applyNumberFormat="1" applyFont="1" applyFill="1" applyBorder="1" applyAlignment="1">
      <alignment horizontal="left"/>
    </xf>
    <xf numFmtId="0" fontId="10" fillId="6" borderId="5" xfId="0" applyFont="1" applyFill="1" applyBorder="1" applyAlignment="1">
      <alignment horizontal="left"/>
    </xf>
    <xf numFmtId="0" fontId="6" fillId="6" borderId="5" xfId="0" applyFont="1" applyFill="1" applyBorder="1" applyAlignment="1">
      <alignment horizontal="left"/>
    </xf>
    <xf numFmtId="0" fontId="10" fillId="0" borderId="5" xfId="0" applyFont="1" applyBorder="1" applyAlignment="1">
      <alignment horizontal="left"/>
    </xf>
    <xf numFmtId="43" fontId="6" fillId="0" borderId="6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9" fontId="6" fillId="0" borderId="0" xfId="2" applyFont="1" applyAlignment="1">
      <alignment horizontal="left"/>
    </xf>
    <xf numFmtId="0" fontId="8" fillId="6" borderId="5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12" fillId="6" borderId="5" xfId="0" applyFont="1" applyFill="1" applyBorder="1" applyAlignment="1">
      <alignment horizontal="left"/>
    </xf>
    <xf numFmtId="0" fontId="7" fillId="7" borderId="5" xfId="0" applyFont="1" applyFill="1" applyBorder="1" applyAlignment="1">
      <alignment horizontal="left"/>
    </xf>
    <xf numFmtId="43" fontId="6" fillId="0" borderId="0" xfId="0" applyNumberFormat="1" applyFont="1" applyAlignment="1">
      <alignment horizontal="left"/>
    </xf>
    <xf numFmtId="0" fontId="11" fillId="3" borderId="5" xfId="0" applyFont="1" applyFill="1" applyBorder="1" applyAlignment="1">
      <alignment horizontal="left"/>
    </xf>
    <xf numFmtId="0" fontId="7" fillId="10" borderId="5" xfId="0" applyFont="1" applyFill="1" applyBorder="1" applyAlignment="1">
      <alignment horizontal="left"/>
    </xf>
    <xf numFmtId="43" fontId="6" fillId="10" borderId="6" xfId="0" applyNumberFormat="1" applyFont="1" applyFill="1" applyBorder="1" applyAlignment="1">
      <alignment horizontal="left"/>
    </xf>
    <xf numFmtId="0" fontId="6" fillId="9" borderId="5" xfId="0" applyFont="1" applyFill="1" applyBorder="1" applyAlignment="1">
      <alignment horizontal="left"/>
    </xf>
    <xf numFmtId="43" fontId="6" fillId="9" borderId="6" xfId="0" applyNumberFormat="1" applyFont="1" applyFill="1" applyBorder="1" applyAlignment="1">
      <alignment horizontal="left"/>
    </xf>
    <xf numFmtId="0" fontId="10" fillId="9" borderId="5" xfId="0" applyFont="1" applyFill="1" applyBorder="1" applyAlignment="1">
      <alignment horizontal="left"/>
    </xf>
    <xf numFmtId="0" fontId="7" fillId="8" borderId="5" xfId="0" applyFont="1" applyFill="1" applyBorder="1" applyAlignment="1">
      <alignment horizontal="left"/>
    </xf>
    <xf numFmtId="0" fontId="10" fillId="7" borderId="5" xfId="0" applyFont="1" applyFill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43" fontId="6" fillId="0" borderId="5" xfId="1" applyFont="1" applyBorder="1" applyAlignment="1">
      <alignment horizontal="left"/>
    </xf>
    <xf numFmtId="43" fontId="6" fillId="0" borderId="0" xfId="0" applyNumberFormat="1" applyFont="1" applyBorder="1" applyAlignment="1">
      <alignment horizontal="left"/>
    </xf>
    <xf numFmtId="43" fontId="6" fillId="0" borderId="0" xfId="1" applyFont="1" applyBorder="1" applyAlignment="1">
      <alignment horizontal="left"/>
    </xf>
    <xf numFmtId="4" fontId="6" fillId="0" borderId="0" xfId="0" applyNumberFormat="1" applyFon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6" fillId="0" borderId="10" xfId="0" applyFont="1" applyBorder="1" applyAlignment="1">
      <alignment horizontal="left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7" borderId="6" xfId="0" applyFont="1" applyFill="1" applyBorder="1" applyAlignment="1">
      <alignment horizontal="right"/>
    </xf>
    <xf numFmtId="0" fontId="7" fillId="2" borderId="7" xfId="0" applyFont="1" applyFill="1" applyBorder="1" applyAlignment="1">
      <alignment horizontal="right"/>
    </xf>
    <xf numFmtId="43" fontId="7" fillId="7" borderId="6" xfId="0" applyNumberFormat="1" applyFont="1" applyFill="1" applyBorder="1" applyAlignment="1">
      <alignment horizontal="right"/>
    </xf>
    <xf numFmtId="43" fontId="8" fillId="0" borderId="6" xfId="0" applyNumberFormat="1" applyFont="1" applyBorder="1" applyAlignment="1">
      <alignment horizontal="right"/>
    </xf>
    <xf numFmtId="43" fontId="6" fillId="6" borderId="6" xfId="1" applyFont="1" applyFill="1" applyBorder="1" applyAlignment="1"/>
    <xf numFmtId="43" fontId="6" fillId="6" borderId="6" xfId="0" applyNumberFormat="1" applyFont="1" applyFill="1" applyBorder="1" applyAlignment="1"/>
    <xf numFmtId="43" fontId="6" fillId="6" borderId="0" xfId="0" applyNumberFormat="1" applyFont="1" applyFill="1" applyAlignment="1"/>
    <xf numFmtId="43" fontId="12" fillId="6" borderId="6" xfId="1" applyFont="1" applyFill="1" applyBorder="1" applyAlignment="1"/>
    <xf numFmtId="43" fontId="12" fillId="6" borderId="0" xfId="0" applyNumberFormat="1" applyFont="1" applyFill="1" applyAlignment="1"/>
    <xf numFmtId="43" fontId="7" fillId="8" borderId="6" xfId="1" applyFont="1" applyFill="1" applyBorder="1" applyAlignment="1"/>
    <xf numFmtId="43" fontId="7" fillId="8" borderId="0" xfId="1" applyFont="1" applyFill="1" applyBorder="1" applyAlignment="1"/>
    <xf numFmtId="43" fontId="7" fillId="8" borderId="0" xfId="0" applyNumberFormat="1" applyFont="1" applyFill="1" applyAlignment="1"/>
    <xf numFmtId="43" fontId="6" fillId="6" borderId="5" xfId="1" applyFont="1" applyFill="1" applyBorder="1" applyAlignment="1"/>
    <xf numFmtId="43" fontId="12" fillId="6" borderId="5" xfId="1" applyFont="1" applyFill="1" applyBorder="1" applyAlignment="1"/>
    <xf numFmtId="43" fontId="9" fillId="2" borderId="6" xfId="1" applyFont="1" applyFill="1" applyBorder="1" applyAlignment="1">
      <alignment horizontal="right"/>
    </xf>
    <xf numFmtId="43" fontId="10" fillId="6" borderId="6" xfId="1" applyFont="1" applyFill="1" applyBorder="1" applyAlignment="1">
      <alignment horizontal="right"/>
    </xf>
    <xf numFmtId="164" fontId="10" fillId="3" borderId="6" xfId="1" applyNumberFormat="1" applyFont="1" applyFill="1" applyBorder="1" applyAlignment="1">
      <alignment horizontal="right"/>
    </xf>
    <xf numFmtId="9" fontId="10" fillId="3" borderId="6" xfId="1" applyNumberFormat="1" applyFont="1" applyFill="1" applyBorder="1" applyAlignment="1">
      <alignment horizontal="right"/>
    </xf>
    <xf numFmtId="164" fontId="10" fillId="3" borderId="6" xfId="0" applyNumberFormat="1" applyFont="1" applyFill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7" fillId="2" borderId="0" xfId="0" applyFont="1" applyFill="1" applyBorder="1" applyAlignment="1">
      <alignment horizontal="left"/>
    </xf>
    <xf numFmtId="0" fontId="4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2" applyNumberFormat="1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000066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870E-9969-4408-AD15-0BE5184057A5}">
  <dimension ref="A1:N101"/>
  <sheetViews>
    <sheetView showGridLines="0" tabSelected="1" zoomScale="68" zoomScaleNormal="68" workbookViewId="0">
      <selection activeCell="J36" sqref="J36"/>
    </sheetView>
  </sheetViews>
  <sheetFormatPr defaultRowHeight="14.4" x14ac:dyDescent="0.3"/>
  <cols>
    <col min="1" max="1" width="47" bestFit="1" customWidth="1"/>
    <col min="2" max="2" width="14.5546875" bestFit="1" customWidth="1"/>
    <col min="3" max="3" width="17.6640625" bestFit="1" customWidth="1"/>
    <col min="4" max="4" width="37.77734375" bestFit="1" customWidth="1"/>
    <col min="5" max="5" width="14.5546875" bestFit="1" customWidth="1"/>
    <col min="6" max="6" width="15.21875" bestFit="1" customWidth="1"/>
    <col min="7" max="7" width="12.44140625" bestFit="1" customWidth="1"/>
    <col min="8" max="8" width="5.109375" bestFit="1" customWidth="1"/>
    <col min="9" max="9" width="13.21875" bestFit="1" customWidth="1"/>
    <col min="10" max="10" width="59.88671875" bestFit="1" customWidth="1"/>
    <col min="11" max="11" width="17.77734375" customWidth="1"/>
    <col min="12" max="12" width="15" bestFit="1" customWidth="1"/>
  </cols>
  <sheetData>
    <row r="1" spans="1:14" ht="27.6" x14ac:dyDescent="0.65">
      <c r="A1" s="78" t="s">
        <v>106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14" ht="15" thickBot="1" x14ac:dyDescent="0.35"/>
    <row r="3" spans="1:14" ht="19.2" thickBot="1" x14ac:dyDescent="0.5">
      <c r="A3" s="79" t="s">
        <v>98</v>
      </c>
      <c r="B3" s="80"/>
      <c r="C3" s="17"/>
      <c r="D3" s="81" t="s">
        <v>100</v>
      </c>
      <c r="E3" s="81"/>
      <c r="F3" s="81"/>
      <c r="G3" s="81"/>
      <c r="H3" s="17"/>
      <c r="I3" s="17"/>
      <c r="J3" s="79" t="s">
        <v>101</v>
      </c>
      <c r="K3" s="80"/>
    </row>
    <row r="4" spans="1:14" ht="18.600000000000001" thickBot="1" x14ac:dyDescent="0.4">
      <c r="A4" s="20" t="s">
        <v>99</v>
      </c>
      <c r="B4" s="54">
        <v>2026</v>
      </c>
      <c r="C4" s="21"/>
      <c r="D4" s="77" t="s">
        <v>71</v>
      </c>
      <c r="E4" s="77"/>
      <c r="F4" s="77"/>
      <c r="G4" s="77"/>
      <c r="H4" s="21"/>
      <c r="I4" s="21"/>
      <c r="J4" s="20" t="s">
        <v>99</v>
      </c>
      <c r="K4" s="55">
        <v>2026</v>
      </c>
    </row>
    <row r="5" spans="1:14" ht="18.600000000000001" thickBot="1" x14ac:dyDescent="0.4">
      <c r="A5" s="22" t="s">
        <v>0</v>
      </c>
      <c r="B5" s="71">
        <v>50000</v>
      </c>
      <c r="C5" s="21"/>
      <c r="D5" s="18" t="s">
        <v>29</v>
      </c>
      <c r="E5" s="56">
        <v>2025</v>
      </c>
      <c r="F5" s="56">
        <v>2026</v>
      </c>
      <c r="G5" s="18" t="s">
        <v>65</v>
      </c>
      <c r="H5" s="21"/>
      <c r="I5" s="21"/>
      <c r="J5" s="23"/>
      <c r="K5" s="24"/>
    </row>
    <row r="6" spans="1:14" ht="18" x14ac:dyDescent="0.35">
      <c r="A6" s="25" t="s">
        <v>1</v>
      </c>
      <c r="B6" s="72">
        <v>0</v>
      </c>
      <c r="C6" s="21"/>
      <c r="D6" s="26" t="s">
        <v>30</v>
      </c>
      <c r="E6" s="61">
        <v>4000</v>
      </c>
      <c r="F6" s="62">
        <v>6200</v>
      </c>
      <c r="G6" s="63"/>
      <c r="H6" s="21"/>
      <c r="I6" s="21"/>
      <c r="J6" s="27" t="s">
        <v>80</v>
      </c>
      <c r="K6" s="28">
        <f>F6</f>
        <v>6200</v>
      </c>
      <c r="N6" s="19"/>
    </row>
    <row r="7" spans="1:14" ht="18" x14ac:dyDescent="0.35">
      <c r="A7" s="25" t="s">
        <v>2</v>
      </c>
      <c r="B7" s="72">
        <v>0</v>
      </c>
      <c r="C7" s="21"/>
      <c r="D7" s="26" t="s">
        <v>31</v>
      </c>
      <c r="E7" s="61">
        <v>7000</v>
      </c>
      <c r="F7" s="62">
        <v>9500</v>
      </c>
      <c r="G7" s="63">
        <f>F7-E7</f>
        <v>2500</v>
      </c>
      <c r="H7" s="21"/>
      <c r="I7" s="21"/>
      <c r="J7" s="27" t="s">
        <v>105</v>
      </c>
      <c r="K7" s="28">
        <f>E6</f>
        <v>4000</v>
      </c>
    </row>
    <row r="8" spans="1:14" ht="18" x14ac:dyDescent="0.35">
      <c r="A8" s="22" t="s">
        <v>3</v>
      </c>
      <c r="B8" s="71">
        <f>B5+B6+B7</f>
        <v>50000</v>
      </c>
      <c r="C8" s="29"/>
      <c r="D8" s="26" t="s">
        <v>33</v>
      </c>
      <c r="E8" s="61">
        <v>6000</v>
      </c>
      <c r="F8" s="62">
        <v>8000</v>
      </c>
      <c r="G8" s="63">
        <f>F8-E8</f>
        <v>2000</v>
      </c>
      <c r="H8" s="30"/>
      <c r="I8" s="21"/>
      <c r="J8" s="27" t="s">
        <v>104</v>
      </c>
      <c r="K8" s="60">
        <f>K6-K7</f>
        <v>2200</v>
      </c>
    </row>
    <row r="9" spans="1:14" ht="18" x14ac:dyDescent="0.35">
      <c r="A9" s="31" t="s">
        <v>4</v>
      </c>
      <c r="B9" s="72">
        <f>B10</f>
        <v>-32000</v>
      </c>
      <c r="C9" s="21"/>
      <c r="D9" s="26" t="s">
        <v>32</v>
      </c>
      <c r="E9" s="61">
        <v>1000</v>
      </c>
      <c r="F9" s="62">
        <v>1300</v>
      </c>
      <c r="G9" s="63">
        <f>F9-E9</f>
        <v>300</v>
      </c>
      <c r="H9" s="21"/>
      <c r="I9" s="21"/>
      <c r="J9" s="32" t="s">
        <v>81</v>
      </c>
      <c r="K9" s="33"/>
    </row>
    <row r="10" spans="1:14" ht="18" x14ac:dyDescent="0.35">
      <c r="A10" s="25" t="s">
        <v>5</v>
      </c>
      <c r="B10" s="72">
        <v>-32000</v>
      </c>
      <c r="C10" s="21"/>
      <c r="D10" s="34" t="s">
        <v>72</v>
      </c>
      <c r="E10" s="64">
        <f>SUM(E6:E9)</f>
        <v>18000</v>
      </c>
      <c r="F10" s="64">
        <f>SUM(F6:F9)</f>
        <v>25000</v>
      </c>
      <c r="G10" s="65"/>
      <c r="H10" s="21"/>
      <c r="I10" s="21" t="s">
        <v>109</v>
      </c>
      <c r="J10" s="35" t="s">
        <v>108</v>
      </c>
      <c r="K10" s="59">
        <f>B32</f>
        <v>5000</v>
      </c>
    </row>
    <row r="11" spans="1:14" ht="18" x14ac:dyDescent="0.35">
      <c r="A11" s="31" t="s">
        <v>6</v>
      </c>
      <c r="B11" s="72">
        <v>0</v>
      </c>
      <c r="C11" s="36"/>
      <c r="D11" s="77" t="s">
        <v>34</v>
      </c>
      <c r="E11" s="77"/>
      <c r="F11" s="77"/>
      <c r="G11" s="77"/>
      <c r="H11" s="21"/>
      <c r="I11" s="21" t="s">
        <v>109</v>
      </c>
      <c r="J11" s="35" t="s">
        <v>82</v>
      </c>
      <c r="K11" s="59">
        <f>-B24</f>
        <v>800</v>
      </c>
    </row>
    <row r="12" spans="1:14" ht="18" x14ac:dyDescent="0.35">
      <c r="A12" s="37" t="s">
        <v>7</v>
      </c>
      <c r="B12" s="73">
        <f>-(B10+B11)/B8</f>
        <v>0.64</v>
      </c>
      <c r="C12" s="21"/>
      <c r="D12" s="26" t="s">
        <v>35</v>
      </c>
      <c r="E12" s="61">
        <v>10000</v>
      </c>
      <c r="F12" s="62">
        <v>11200</v>
      </c>
      <c r="G12" s="63">
        <f>F12-E12</f>
        <v>1200</v>
      </c>
      <c r="H12" s="21"/>
      <c r="I12" s="21"/>
      <c r="J12" s="38" t="s">
        <v>103</v>
      </c>
      <c r="K12" s="39">
        <f>SUM(K13:K18)</f>
        <v>-2300</v>
      </c>
    </row>
    <row r="13" spans="1:14" ht="18" x14ac:dyDescent="0.35">
      <c r="A13" s="31" t="s">
        <v>8</v>
      </c>
      <c r="B13" s="72">
        <f>SUM(B14:B15)</f>
        <v>0</v>
      </c>
      <c r="C13" s="21"/>
      <c r="D13" s="26" t="s">
        <v>36</v>
      </c>
      <c r="E13" s="61">
        <v>2000</v>
      </c>
      <c r="F13" s="62">
        <v>2600</v>
      </c>
      <c r="G13" s="63">
        <f>F13-E13</f>
        <v>600</v>
      </c>
      <c r="H13" s="21"/>
      <c r="I13" s="21" t="s">
        <v>102</v>
      </c>
      <c r="J13" s="40" t="s">
        <v>83</v>
      </c>
      <c r="K13" s="41">
        <f>-G7</f>
        <v>-2500</v>
      </c>
    </row>
    <row r="14" spans="1:14" ht="18" x14ac:dyDescent="0.35">
      <c r="A14" s="25" t="s">
        <v>9</v>
      </c>
      <c r="B14" s="72">
        <v>0</v>
      </c>
      <c r="C14" s="21"/>
      <c r="D14" s="34" t="s">
        <v>73</v>
      </c>
      <c r="E14" s="64">
        <f>SUM(E12:E13)</f>
        <v>12000</v>
      </c>
      <c r="F14" s="64">
        <f>SUM(F12:F13)</f>
        <v>13800</v>
      </c>
      <c r="G14" s="65"/>
      <c r="H14" s="21"/>
      <c r="I14" s="21" t="s">
        <v>102</v>
      </c>
      <c r="J14" s="42" t="s">
        <v>84</v>
      </c>
      <c r="K14" s="41">
        <f t="shared" ref="K14:K15" si="0">-G8</f>
        <v>-2000</v>
      </c>
    </row>
    <row r="15" spans="1:14" ht="18" x14ac:dyDescent="0.35">
      <c r="A15" s="25" t="s">
        <v>10</v>
      </c>
      <c r="B15" s="72">
        <v>0</v>
      </c>
      <c r="C15" s="21"/>
      <c r="D15" s="43" t="s">
        <v>74</v>
      </c>
      <c r="E15" s="66">
        <f>E10+E14</f>
        <v>30000</v>
      </c>
      <c r="F15" s="67">
        <f>F10+F14</f>
        <v>38800</v>
      </c>
      <c r="G15" s="68"/>
      <c r="H15" s="21"/>
      <c r="I15" s="21" t="s">
        <v>102</v>
      </c>
      <c r="J15" s="42" t="s">
        <v>85</v>
      </c>
      <c r="K15" s="41">
        <f t="shared" si="0"/>
        <v>-300</v>
      </c>
      <c r="L15" s="3"/>
    </row>
    <row r="16" spans="1:14" ht="18" x14ac:dyDescent="0.35">
      <c r="A16" s="22" t="s">
        <v>11</v>
      </c>
      <c r="B16" s="71">
        <f>B8+B9+B13+B11</f>
        <v>18000</v>
      </c>
      <c r="C16" s="21"/>
      <c r="D16" s="77" t="s">
        <v>75</v>
      </c>
      <c r="E16" s="77"/>
      <c r="F16" s="77"/>
      <c r="G16" s="77"/>
      <c r="H16" s="21"/>
      <c r="I16" s="21" t="s">
        <v>102</v>
      </c>
      <c r="J16" s="42" t="s">
        <v>86</v>
      </c>
      <c r="K16" s="41">
        <f>-G18</f>
        <v>1500</v>
      </c>
    </row>
    <row r="17" spans="1:12" ht="18" x14ac:dyDescent="0.35">
      <c r="A17" s="37" t="s">
        <v>12</v>
      </c>
      <c r="B17" s="74">
        <f>B16/B8</f>
        <v>0.36</v>
      </c>
      <c r="C17" s="21"/>
      <c r="D17" s="77" t="s">
        <v>76</v>
      </c>
      <c r="E17" s="77"/>
      <c r="F17" s="77"/>
      <c r="G17" s="77"/>
      <c r="H17" s="21"/>
      <c r="I17" s="21" t="s">
        <v>102</v>
      </c>
      <c r="J17" s="42" t="s">
        <v>87</v>
      </c>
      <c r="K17" s="41">
        <f t="shared" ref="K17:K18" si="1">-G19</f>
        <v>600</v>
      </c>
    </row>
    <row r="18" spans="1:12" ht="18" x14ac:dyDescent="0.35">
      <c r="A18" s="31" t="s">
        <v>13</v>
      </c>
      <c r="B18" s="72">
        <f>SUM(B19:B21)</f>
        <v>-9200</v>
      </c>
      <c r="C18" s="21"/>
      <c r="D18" s="26" t="s">
        <v>69</v>
      </c>
      <c r="E18" s="61">
        <v>5500</v>
      </c>
      <c r="F18" s="62">
        <v>7000</v>
      </c>
      <c r="G18" s="63">
        <f>E18-F18</f>
        <v>-1500</v>
      </c>
      <c r="H18" s="21"/>
      <c r="I18" s="21" t="s">
        <v>102</v>
      </c>
      <c r="J18" s="42" t="s">
        <v>88</v>
      </c>
      <c r="K18" s="41">
        <f t="shared" si="1"/>
        <v>400</v>
      </c>
    </row>
    <row r="19" spans="1:12" ht="18" x14ac:dyDescent="0.35">
      <c r="A19" s="25" t="s">
        <v>26</v>
      </c>
      <c r="B19" s="72">
        <v>-5000</v>
      </c>
      <c r="C19" s="21"/>
      <c r="D19" s="26" t="s">
        <v>37</v>
      </c>
      <c r="E19" s="61">
        <v>1000</v>
      </c>
      <c r="F19" s="62">
        <v>1600</v>
      </c>
      <c r="G19" s="63">
        <f>E19-F19</f>
        <v>-600</v>
      </c>
      <c r="H19" s="21"/>
      <c r="I19" s="21"/>
      <c r="J19" s="44" t="s">
        <v>89</v>
      </c>
      <c r="K19" s="57">
        <f>K12+K10+K11</f>
        <v>3500</v>
      </c>
    </row>
    <row r="20" spans="1:12" ht="18" x14ac:dyDescent="0.35">
      <c r="A20" s="25" t="s">
        <v>14</v>
      </c>
      <c r="B20" s="72">
        <v>-4200</v>
      </c>
      <c r="C20" s="21"/>
      <c r="D20" s="26" t="s">
        <v>42</v>
      </c>
      <c r="E20" s="61">
        <v>2000</v>
      </c>
      <c r="F20" s="62">
        <v>2400</v>
      </c>
      <c r="G20" s="63">
        <f>E20-F20</f>
        <v>-400</v>
      </c>
      <c r="H20" s="21"/>
      <c r="I20" s="21"/>
      <c r="J20" s="32" t="s">
        <v>95</v>
      </c>
      <c r="K20" s="33"/>
    </row>
    <row r="21" spans="1:12" ht="18" x14ac:dyDescent="0.35">
      <c r="A21" s="25" t="s">
        <v>15</v>
      </c>
      <c r="B21" s="72">
        <v>0</v>
      </c>
      <c r="C21" s="21"/>
      <c r="D21" s="34" t="s">
        <v>77</v>
      </c>
      <c r="E21" s="64">
        <f>SUM(E18:E20)</f>
        <v>8500</v>
      </c>
      <c r="F21" s="64">
        <f>SUM(F18:F20)</f>
        <v>11000</v>
      </c>
      <c r="G21" s="65"/>
      <c r="H21" s="21"/>
      <c r="I21" s="21" t="s">
        <v>102</v>
      </c>
      <c r="J21" s="42" t="s">
        <v>60</v>
      </c>
      <c r="K21" s="41">
        <f>-G12</f>
        <v>-1200</v>
      </c>
    </row>
    <row r="22" spans="1:12" ht="18" x14ac:dyDescent="0.35">
      <c r="A22" s="22" t="s">
        <v>27</v>
      </c>
      <c r="B22" s="71">
        <f>B16+B18</f>
        <v>8800</v>
      </c>
      <c r="C22" s="21"/>
      <c r="D22" s="77" t="s">
        <v>38</v>
      </c>
      <c r="E22" s="77"/>
      <c r="F22" s="77"/>
      <c r="G22" s="77"/>
      <c r="H22" s="21"/>
      <c r="I22" s="21" t="s">
        <v>102</v>
      </c>
      <c r="J22" s="42" t="s">
        <v>59</v>
      </c>
      <c r="K22" s="41">
        <f>-G13</f>
        <v>-600</v>
      </c>
      <c r="L22" s="3"/>
    </row>
    <row r="23" spans="1:12" ht="18" x14ac:dyDescent="0.35">
      <c r="A23" s="37" t="s">
        <v>28</v>
      </c>
      <c r="B23" s="73">
        <f>B22/B8</f>
        <v>0.17599999999999999</v>
      </c>
      <c r="C23" s="21"/>
      <c r="D23" s="26" t="s">
        <v>39</v>
      </c>
      <c r="E23" s="61">
        <v>9500</v>
      </c>
      <c r="F23" s="62">
        <v>11800</v>
      </c>
      <c r="G23" s="63">
        <f t="shared" ref="G23:G26" si="2">E23-F23</f>
        <v>-2300</v>
      </c>
      <c r="H23" s="21"/>
      <c r="I23" s="21"/>
      <c r="J23" s="44" t="s">
        <v>93</v>
      </c>
      <c r="K23" s="57">
        <f>SUM(K21:K22)</f>
        <v>-1800</v>
      </c>
    </row>
    <row r="24" spans="1:12" ht="18" x14ac:dyDescent="0.35">
      <c r="A24" s="31" t="s">
        <v>16</v>
      </c>
      <c r="B24" s="72">
        <v>-800</v>
      </c>
      <c r="C24" s="21"/>
      <c r="D24" s="34" t="s">
        <v>78</v>
      </c>
      <c r="E24" s="64">
        <f>SUM(E23)</f>
        <v>9500</v>
      </c>
      <c r="F24" s="64">
        <f>SUM(F23)</f>
        <v>11800</v>
      </c>
      <c r="G24" s="65"/>
      <c r="H24" s="21"/>
      <c r="I24" s="21"/>
      <c r="J24" s="32" t="s">
        <v>90</v>
      </c>
      <c r="K24" s="33"/>
    </row>
    <row r="25" spans="1:12" ht="18" x14ac:dyDescent="0.35">
      <c r="A25" s="22" t="s">
        <v>17</v>
      </c>
      <c r="B25" s="71">
        <f>B22+B24</f>
        <v>8000</v>
      </c>
      <c r="C25" s="21"/>
      <c r="D25" s="77" t="s">
        <v>40</v>
      </c>
      <c r="E25" s="77"/>
      <c r="F25" s="77"/>
      <c r="G25" s="77"/>
      <c r="H25" s="21"/>
      <c r="I25" s="21" t="s">
        <v>102</v>
      </c>
      <c r="J25" s="42" t="s">
        <v>91</v>
      </c>
      <c r="K25" s="41">
        <f>-G23</f>
        <v>2300</v>
      </c>
    </row>
    <row r="26" spans="1:12" ht="18" x14ac:dyDescent="0.35">
      <c r="A26" s="37" t="s">
        <v>18</v>
      </c>
      <c r="B26" s="73">
        <f>B25/B8</f>
        <v>0.16</v>
      </c>
      <c r="C26" s="21"/>
      <c r="D26" s="26" t="s">
        <v>41</v>
      </c>
      <c r="E26" s="69">
        <v>7000</v>
      </c>
      <c r="F26" s="62">
        <v>8500</v>
      </c>
      <c r="G26" s="63">
        <f t="shared" si="2"/>
        <v>-1500</v>
      </c>
      <c r="H26" s="21"/>
      <c r="I26" s="21"/>
      <c r="J26" s="42" t="s">
        <v>92</v>
      </c>
      <c r="K26" s="41">
        <f>-G26</f>
        <v>1500</v>
      </c>
    </row>
    <row r="27" spans="1:12" ht="18" x14ac:dyDescent="0.35">
      <c r="A27" s="31" t="s">
        <v>19</v>
      </c>
      <c r="B27" s="72">
        <v>-1200</v>
      </c>
      <c r="C27" s="21"/>
      <c r="D27" s="26" t="s">
        <v>70</v>
      </c>
      <c r="E27" s="69">
        <v>5000</v>
      </c>
      <c r="F27" s="62">
        <v>7500</v>
      </c>
      <c r="G27" s="63"/>
      <c r="H27" s="21"/>
      <c r="I27" s="21"/>
      <c r="J27" s="42" t="s">
        <v>96</v>
      </c>
      <c r="K27" s="41">
        <f>-3300</f>
        <v>-3300</v>
      </c>
    </row>
    <row r="28" spans="1:12" ht="18" x14ac:dyDescent="0.35">
      <c r="A28" s="31" t="s">
        <v>20</v>
      </c>
      <c r="B28" s="72">
        <v>0</v>
      </c>
      <c r="C28" s="21"/>
      <c r="D28" s="34" t="s">
        <v>79</v>
      </c>
      <c r="E28" s="70">
        <f>SUM(E26:E27)</f>
        <v>12000</v>
      </c>
      <c r="F28" s="64">
        <f>SUM(F26:F27)</f>
        <v>16000</v>
      </c>
      <c r="G28" s="65"/>
      <c r="H28" s="21"/>
      <c r="I28" s="21"/>
      <c r="J28" s="44" t="s">
        <v>94</v>
      </c>
      <c r="K28" s="57">
        <f>SUM(K25:K27)</f>
        <v>500</v>
      </c>
    </row>
    <row r="29" spans="1:12" ht="18.600000000000001" thickBot="1" x14ac:dyDescent="0.4">
      <c r="A29" s="22" t="s">
        <v>21</v>
      </c>
      <c r="B29" s="71">
        <f>B25+B27+B28</f>
        <v>6800</v>
      </c>
      <c r="C29" s="21"/>
      <c r="D29" s="43" t="s">
        <v>107</v>
      </c>
      <c r="E29" s="67">
        <f>SUM(E21+E24+E28)</f>
        <v>30000</v>
      </c>
      <c r="F29" s="67">
        <f>SUM(F21+F24+F28)</f>
        <v>38800</v>
      </c>
      <c r="G29" s="68"/>
      <c r="H29" s="21"/>
      <c r="I29" s="21"/>
      <c r="J29" s="45" t="s">
        <v>97</v>
      </c>
      <c r="K29" s="58">
        <f>K19+K23+K28</f>
        <v>2200</v>
      </c>
    </row>
    <row r="30" spans="1:12" ht="18" x14ac:dyDescent="0.35">
      <c r="A30" s="37" t="s">
        <v>22</v>
      </c>
      <c r="B30" s="73">
        <f>B29/B8</f>
        <v>0.13600000000000001</v>
      </c>
      <c r="C30" s="21"/>
      <c r="D30" s="46"/>
      <c r="E30" s="47"/>
      <c r="F30" s="48"/>
      <c r="G30" s="21"/>
      <c r="H30" s="21"/>
      <c r="I30" s="21"/>
      <c r="J30" s="21"/>
      <c r="K30" s="21"/>
    </row>
    <row r="31" spans="1:12" ht="18" x14ac:dyDescent="0.35">
      <c r="A31" s="31" t="s">
        <v>23</v>
      </c>
      <c r="B31" s="72">
        <v>-1800</v>
      </c>
      <c r="C31" s="21"/>
      <c r="D31" s="46"/>
      <c r="E31" s="49"/>
      <c r="F31" s="48"/>
      <c r="G31" s="21"/>
      <c r="H31" s="21"/>
      <c r="I31" s="21"/>
      <c r="J31" s="21" t="s">
        <v>43</v>
      </c>
      <c r="K31" s="36">
        <f>K8-K29</f>
        <v>0</v>
      </c>
    </row>
    <row r="32" spans="1:12" ht="18" x14ac:dyDescent="0.35">
      <c r="A32" s="22" t="s">
        <v>25</v>
      </c>
      <c r="B32" s="71">
        <f>B29+B31</f>
        <v>5000</v>
      </c>
      <c r="C32" s="21"/>
      <c r="D32" s="46" t="s">
        <v>43</v>
      </c>
      <c r="E32" s="49">
        <f>E15-E29</f>
        <v>0</v>
      </c>
      <c r="F32" s="49">
        <f>F15-F29</f>
        <v>0</v>
      </c>
      <c r="G32" s="50"/>
      <c r="H32" s="21"/>
      <c r="I32" s="21"/>
      <c r="J32" s="21"/>
      <c r="K32" s="21"/>
    </row>
    <row r="33" spans="1:11" ht="18.600000000000001" thickBot="1" x14ac:dyDescent="0.4">
      <c r="A33" s="37" t="s">
        <v>24</v>
      </c>
      <c r="B33" s="75">
        <f>B32/B8</f>
        <v>0.1</v>
      </c>
      <c r="C33" s="21"/>
      <c r="D33" s="51"/>
      <c r="E33" s="51"/>
      <c r="F33" s="51"/>
      <c r="G33" s="52"/>
      <c r="H33" s="21"/>
      <c r="I33" s="21"/>
      <c r="J33" s="21"/>
      <c r="K33" s="21"/>
    </row>
    <row r="34" spans="1:11" ht="18.600000000000001" thickBot="1" x14ac:dyDescent="0.4">
      <c r="A34" s="53"/>
      <c r="B34" s="76"/>
      <c r="C34" s="21"/>
      <c r="D34" s="51"/>
      <c r="E34" s="51"/>
      <c r="F34" s="51"/>
      <c r="G34" s="52"/>
      <c r="H34" s="21"/>
      <c r="I34" s="21"/>
      <c r="J34" s="21"/>
      <c r="K34" s="21"/>
    </row>
    <row r="35" spans="1:11" x14ac:dyDescent="0.3">
      <c r="C35" s="11"/>
      <c r="D35" s="15"/>
      <c r="E35" s="15"/>
      <c r="F35" s="15"/>
      <c r="G35" s="3"/>
    </row>
    <row r="36" spans="1:11" x14ac:dyDescent="0.3">
      <c r="E36" s="15"/>
      <c r="F36" s="3"/>
    </row>
    <row r="37" spans="1:11" x14ac:dyDescent="0.3">
      <c r="E37" s="15"/>
      <c r="F37" s="16"/>
    </row>
    <row r="38" spans="1:11" x14ac:dyDescent="0.3">
      <c r="E38" s="15"/>
      <c r="F38" s="12"/>
    </row>
    <row r="39" spans="1:11" x14ac:dyDescent="0.3">
      <c r="E39" s="15"/>
    </row>
    <row r="40" spans="1:11" x14ac:dyDescent="0.3">
      <c r="E40" s="15"/>
      <c r="G40" s="82"/>
      <c r="I40" s="3"/>
    </row>
    <row r="41" spans="1:11" x14ac:dyDescent="0.3">
      <c r="F41" s="3"/>
      <c r="J41" s="3"/>
    </row>
    <row r="44" spans="1:11" x14ac:dyDescent="0.3">
      <c r="G44" s="3"/>
    </row>
    <row r="50" spans="6:8" x14ac:dyDescent="0.3">
      <c r="F50" s="3"/>
    </row>
    <row r="61" spans="6:8" x14ac:dyDescent="0.3">
      <c r="G61" s="4"/>
    </row>
    <row r="62" spans="6:8" x14ac:dyDescent="0.3">
      <c r="G62" s="13"/>
      <c r="H62" s="3">
        <f>H60-A51</f>
        <v>0</v>
      </c>
    </row>
    <row r="63" spans="6:8" x14ac:dyDescent="0.3">
      <c r="G63" s="14"/>
    </row>
    <row r="65" spans="1:7" x14ac:dyDescent="0.3">
      <c r="D65" s="2"/>
    </row>
    <row r="66" spans="1:7" x14ac:dyDescent="0.3">
      <c r="F66" t="s">
        <v>43</v>
      </c>
    </row>
    <row r="67" spans="1:7" x14ac:dyDescent="0.3">
      <c r="D67" s="4" t="s">
        <v>45</v>
      </c>
      <c r="E67" s="4"/>
      <c r="F67" s="4"/>
    </row>
    <row r="68" spans="1:7" x14ac:dyDescent="0.3">
      <c r="C68" s="4"/>
      <c r="D68" s="7"/>
      <c r="E68" s="6"/>
      <c r="F68" s="6"/>
    </row>
    <row r="69" spans="1:7" x14ac:dyDescent="0.3">
      <c r="A69" s="1"/>
      <c r="B69" s="4"/>
      <c r="C69" s="5"/>
      <c r="D69" s="8">
        <f>D39</f>
        <v>0</v>
      </c>
      <c r="E69" s="8">
        <f>E39</f>
        <v>0</v>
      </c>
      <c r="F69" s="8">
        <f>F39</f>
        <v>0</v>
      </c>
    </row>
    <row r="70" spans="1:7" x14ac:dyDescent="0.3">
      <c r="A70" s="1"/>
      <c r="B70" s="7"/>
      <c r="C70" s="8">
        <f>C40</f>
        <v>0</v>
      </c>
      <c r="G70" s="3"/>
    </row>
    <row r="71" spans="1:7" x14ac:dyDescent="0.3">
      <c r="A71" s="4" t="s">
        <v>44</v>
      </c>
      <c r="B71" s="8">
        <f>B41</f>
        <v>0</v>
      </c>
    </row>
    <row r="73" spans="1:7" x14ac:dyDescent="0.3">
      <c r="A73" t="s">
        <v>46</v>
      </c>
      <c r="B73" s="3">
        <f>B32</f>
        <v>5000</v>
      </c>
    </row>
    <row r="74" spans="1:7" x14ac:dyDescent="0.3">
      <c r="A74" t="s">
        <v>47</v>
      </c>
    </row>
    <row r="76" spans="1:7" x14ac:dyDescent="0.3">
      <c r="D76" s="3">
        <f t="shared" ref="D76:F76" si="3">SUM(D77:D84)</f>
        <v>0</v>
      </c>
      <c r="E76" s="3">
        <f t="shared" si="3"/>
        <v>0</v>
      </c>
      <c r="F76" s="3">
        <f t="shared" si="3"/>
        <v>0</v>
      </c>
    </row>
    <row r="77" spans="1:7" x14ac:dyDescent="0.3">
      <c r="A77" t="s">
        <v>48</v>
      </c>
      <c r="C77" s="3">
        <f>SUM(C78:C85)</f>
        <v>0</v>
      </c>
    </row>
    <row r="78" spans="1:7" x14ac:dyDescent="0.3">
      <c r="A78" t="s">
        <v>49</v>
      </c>
      <c r="B78" s="3">
        <f>SUM(B79:B86)</f>
        <v>0</v>
      </c>
    </row>
    <row r="79" spans="1:7" x14ac:dyDescent="0.3">
      <c r="A79" t="s">
        <v>50</v>
      </c>
      <c r="B79" s="3"/>
    </row>
    <row r="80" spans="1:7" x14ac:dyDescent="0.3">
      <c r="A80" t="s">
        <v>51</v>
      </c>
      <c r="B80" s="3"/>
    </row>
    <row r="81" spans="1:7" x14ac:dyDescent="0.3">
      <c r="A81" t="s">
        <v>52</v>
      </c>
      <c r="B81" s="3"/>
    </row>
    <row r="82" spans="1:7" x14ac:dyDescent="0.3">
      <c r="A82" t="s">
        <v>53</v>
      </c>
      <c r="B82" s="3"/>
    </row>
    <row r="83" spans="1:7" x14ac:dyDescent="0.3">
      <c r="A83" t="s">
        <v>54</v>
      </c>
      <c r="B83" s="3"/>
    </row>
    <row r="84" spans="1:7" x14ac:dyDescent="0.3">
      <c r="A84" t="s">
        <v>55</v>
      </c>
      <c r="B84" s="3"/>
    </row>
    <row r="85" spans="1:7" x14ac:dyDescent="0.3">
      <c r="A85" t="s">
        <v>56</v>
      </c>
      <c r="B85" s="3"/>
    </row>
    <row r="86" spans="1:7" x14ac:dyDescent="0.3">
      <c r="A86" t="s">
        <v>57</v>
      </c>
      <c r="B86" s="3"/>
      <c r="D86">
        <f t="shared" ref="C86:F87" si="4">SUM(D87:D89)</f>
        <v>0</v>
      </c>
      <c r="E86">
        <f t="shared" si="4"/>
        <v>0</v>
      </c>
      <c r="F86">
        <f t="shared" si="4"/>
        <v>0</v>
      </c>
    </row>
    <row r="87" spans="1:7" x14ac:dyDescent="0.3">
      <c r="C87">
        <f t="shared" si="4"/>
        <v>0</v>
      </c>
    </row>
    <row r="88" spans="1:7" x14ac:dyDescent="0.3">
      <c r="A88" t="s">
        <v>58</v>
      </c>
      <c r="B88">
        <f>SUM(B89:B91)</f>
        <v>0</v>
      </c>
    </row>
    <row r="89" spans="1:7" x14ac:dyDescent="0.3">
      <c r="A89" t="s">
        <v>59</v>
      </c>
      <c r="B89" s="3"/>
    </row>
    <row r="90" spans="1:7" x14ac:dyDescent="0.3">
      <c r="A90" t="s">
        <v>60</v>
      </c>
      <c r="B90" s="3"/>
      <c r="G90" s="4"/>
    </row>
    <row r="91" spans="1:7" x14ac:dyDescent="0.3">
      <c r="A91" t="s">
        <v>61</v>
      </c>
      <c r="B91" s="3"/>
      <c r="D91">
        <f t="shared" ref="C91:F92" si="5">SUM(D92:D94)</f>
        <v>0</v>
      </c>
      <c r="E91">
        <f t="shared" si="5"/>
        <v>0</v>
      </c>
      <c r="F91">
        <f t="shared" si="5"/>
        <v>0</v>
      </c>
      <c r="G91" s="14"/>
    </row>
    <row r="92" spans="1:7" x14ac:dyDescent="0.3">
      <c r="C92">
        <f t="shared" si="5"/>
        <v>0</v>
      </c>
    </row>
    <row r="93" spans="1:7" x14ac:dyDescent="0.3">
      <c r="A93" t="s">
        <v>62</v>
      </c>
      <c r="B93">
        <f>SUM(B94:B96)</f>
        <v>0</v>
      </c>
      <c r="G93" s="3"/>
    </row>
    <row r="94" spans="1:7" x14ac:dyDescent="0.3">
      <c r="A94" t="s">
        <v>63</v>
      </c>
      <c r="B94" s="3"/>
    </row>
    <row r="95" spans="1:7" x14ac:dyDescent="0.3">
      <c r="A95" t="s">
        <v>64</v>
      </c>
      <c r="B95" s="3"/>
    </row>
    <row r="96" spans="1:7" x14ac:dyDescent="0.3">
      <c r="A96" t="s">
        <v>66</v>
      </c>
      <c r="B96" s="3"/>
      <c r="D96" s="4">
        <f t="shared" ref="D96:F96" si="6">D71+D72+D76+D86+D91</f>
        <v>0</v>
      </c>
      <c r="E96" s="4">
        <f t="shared" si="6"/>
        <v>0</v>
      </c>
      <c r="F96" s="4">
        <f t="shared" si="6"/>
        <v>0</v>
      </c>
    </row>
    <row r="97" spans="1:6" x14ac:dyDescent="0.3">
      <c r="C97" s="4">
        <f>C72+C73+C77+C87+C92</f>
        <v>0</v>
      </c>
      <c r="D97" s="9">
        <f>C98+D96</f>
        <v>5000</v>
      </c>
      <c r="E97" s="9">
        <f>D97+E96</f>
        <v>5000</v>
      </c>
      <c r="F97" s="9">
        <f t="shared" ref="F97" si="7">E97+F96</f>
        <v>5000</v>
      </c>
    </row>
    <row r="98" spans="1:6" x14ac:dyDescent="0.3">
      <c r="A98" s="4" t="s">
        <v>67</v>
      </c>
      <c r="B98" s="10">
        <f>B73+B74+B78+B88+B93</f>
        <v>5000</v>
      </c>
      <c r="C98" s="9">
        <f>B99+C97</f>
        <v>5000</v>
      </c>
    </row>
    <row r="99" spans="1:6" x14ac:dyDescent="0.3">
      <c r="A99" s="5" t="s">
        <v>68</v>
      </c>
      <c r="B99" s="9">
        <f>B71+B98</f>
        <v>5000</v>
      </c>
      <c r="D99" s="3">
        <f>D39-D97</f>
        <v>-5000</v>
      </c>
      <c r="E99" s="3">
        <f>E39-E97</f>
        <v>-5000</v>
      </c>
      <c r="F99" s="3">
        <f>F39-F97</f>
        <v>-5000</v>
      </c>
    </row>
    <row r="100" spans="1:6" x14ac:dyDescent="0.3">
      <c r="C100" s="3">
        <f>C40-C98</f>
        <v>-5000</v>
      </c>
    </row>
    <row r="101" spans="1:6" x14ac:dyDescent="0.3">
      <c r="A101" t="s">
        <v>43</v>
      </c>
      <c r="B101" s="3">
        <f>B41+B99</f>
        <v>5000</v>
      </c>
    </row>
  </sheetData>
  <mergeCells count="10">
    <mergeCell ref="A1:K1"/>
    <mergeCell ref="J3:K3"/>
    <mergeCell ref="A3:B3"/>
    <mergeCell ref="D3:G3"/>
    <mergeCell ref="D4:G4"/>
    <mergeCell ref="D25:G25"/>
    <mergeCell ref="D11:G11"/>
    <mergeCell ref="D22:G22"/>
    <mergeCell ref="D16:G16"/>
    <mergeCell ref="D17:G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 MODELAGEM FINANCEIRA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Bumba Amador</dc:creator>
  <cp:lastModifiedBy>Francisco Bumba Amador</cp:lastModifiedBy>
  <dcterms:created xsi:type="dcterms:W3CDTF">2015-06-05T18:17:20Z</dcterms:created>
  <dcterms:modified xsi:type="dcterms:W3CDTF">2026-02-17T13:05:42Z</dcterms:modified>
</cp:coreProperties>
</file>